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hidePivotFieldList="1"/>
  <xr:revisionPtr revIDLastSave="0" documentId="8_{5CEFAB0D-03E6-4510-ACF9-797CD41859EB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Sheet1" sheetId="2" r:id="rId1"/>
    <sheet name="DASHBOARD" sheetId="3" r:id="rId2"/>
    <sheet name="Raw_Sales_Data" sheetId="1" r:id="rId3"/>
  </sheets>
  <definedNames>
    <definedName name="Slicer_Item__Name_Proper">#N/A</definedName>
    <definedName name="Slicer_Region">#N/A</definedName>
  </definedNames>
  <calcPr calcId="191028"/>
  <pivotCaches>
    <pivotCache cacheId="943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2" i="1"/>
  <c r="C2" i="1" s="1"/>
  <c r="H3" i="1"/>
  <c r="J3" i="1" s="1"/>
  <c r="K3" i="1" s="1"/>
  <c r="H4" i="1"/>
  <c r="J4" i="1" s="1"/>
  <c r="K4" i="1" s="1"/>
  <c r="H5" i="1"/>
  <c r="J5" i="1" s="1"/>
  <c r="K5" i="1" s="1"/>
  <c r="H6" i="1"/>
  <c r="J6" i="1" s="1"/>
  <c r="K6" i="1" s="1"/>
  <c r="H7" i="1"/>
  <c r="J7" i="1" s="1"/>
  <c r="K7" i="1" s="1"/>
  <c r="H8" i="1"/>
  <c r="J8" i="1" s="1"/>
  <c r="K8" i="1" s="1"/>
  <c r="H9" i="1"/>
  <c r="J9" i="1" s="1"/>
  <c r="K9" i="1" s="1"/>
  <c r="H10" i="1"/>
  <c r="J10" i="1" s="1"/>
  <c r="K10" i="1" s="1"/>
  <c r="H11" i="1"/>
  <c r="J11" i="1" s="1"/>
  <c r="K11" i="1" s="1"/>
  <c r="H2" i="1"/>
  <c r="J2" i="1" s="1"/>
  <c r="K2" i="1" s="1"/>
  <c r="L2" i="1" l="1"/>
  <c r="M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L3" i="1"/>
  <c r="M3" i="1" s="1"/>
  <c r="O3" i="1" l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2" i="1"/>
  <c r="P2" i="1"/>
</calcChain>
</file>

<file path=xl/sharedStrings.xml><?xml version="1.0" encoding="utf-8"?>
<sst xmlns="http://schemas.openxmlformats.org/spreadsheetml/2006/main" count="80" uniqueCount="61">
  <si>
    <t>APNA STORE-SALES ANALYTICS 2025</t>
  </si>
  <si>
    <t>Region</t>
  </si>
  <si>
    <t>Sum of Final Amount</t>
  </si>
  <si>
    <t>EAST</t>
  </si>
  <si>
    <t>NORTH</t>
  </si>
  <si>
    <t>SOUTH</t>
  </si>
  <si>
    <t>WEST</t>
  </si>
  <si>
    <t>Grand Total</t>
  </si>
  <si>
    <t>Item_ Name_Proper</t>
  </si>
  <si>
    <t>Sum of Qty</t>
  </si>
  <si>
    <t>Headphones</t>
  </si>
  <si>
    <t>Laptop</t>
  </si>
  <si>
    <t>Mobile</t>
  </si>
  <si>
    <t>Smartwatch</t>
  </si>
  <si>
    <t>Tablet</t>
  </si>
  <si>
    <t>Raw_Info (ID/Date/Region)</t>
  </si>
  <si>
    <t>TRIMMED INFO</t>
  </si>
  <si>
    <t>PROPER INFO</t>
  </si>
  <si>
    <t>Order ID</t>
  </si>
  <si>
    <t>Date</t>
  </si>
  <si>
    <t>Item_Name</t>
  </si>
  <si>
    <t>Qty</t>
  </si>
  <si>
    <t>UnitPrice</t>
  </si>
  <si>
    <t>Total_Sales</t>
  </si>
  <si>
    <t xml:space="preserve"> GST value</t>
  </si>
  <si>
    <t>Final Amount</t>
  </si>
  <si>
    <t xml:space="preserve">Target </t>
  </si>
  <si>
    <t xml:space="preserve">Performance </t>
  </si>
  <si>
    <t>Tareget Left</t>
  </si>
  <si>
    <t xml:space="preserve">     ORD001/2024/01/01/NORTH</t>
  </si>
  <si>
    <t>ORD001</t>
  </si>
  <si>
    <t>lAPTOP</t>
  </si>
  <si>
    <t>ord002/2/Jan/24/SOUTH</t>
  </si>
  <si>
    <t>ORD002</t>
  </si>
  <si>
    <t>MoBILe</t>
  </si>
  <si>
    <t>ORD003/03/01/24_west</t>
  </si>
  <si>
    <t>ORD003</t>
  </si>
  <si>
    <t>TABlet</t>
  </si>
  <si>
    <t xml:space="preserve">ORD004/04Jan24/EAST      </t>
  </si>
  <si>
    <t>ORD004</t>
  </si>
  <si>
    <t>HeadPHONES</t>
  </si>
  <si>
    <t>ord005/05/01/2024/north</t>
  </si>
  <si>
    <t>ORD005</t>
  </si>
  <si>
    <t>LAPtop</t>
  </si>
  <si>
    <t>ORD006/6/1/2024/SOUTH</t>
  </si>
  <si>
    <t>ORD006</t>
  </si>
  <si>
    <t>TaBLET</t>
  </si>
  <si>
    <t>ORD007/07/Jan/24_WEST</t>
  </si>
  <si>
    <t>ORD007</t>
  </si>
  <si>
    <t>smartWATCH</t>
  </si>
  <si>
    <t xml:space="preserve">      ord008/08/01/24/east</t>
  </si>
  <si>
    <t>ORD008</t>
  </si>
  <si>
    <t>TabLet</t>
  </si>
  <si>
    <t>ord009/09Jan24/NORTH</t>
  </si>
  <si>
    <t>ORD009</t>
  </si>
  <si>
    <t>ORD010/10/1/2024/SOUTH</t>
  </si>
  <si>
    <t>ORD010</t>
  </si>
  <si>
    <t>LaPtop</t>
  </si>
  <si>
    <t>Product Name</t>
  </si>
  <si>
    <t>Price</t>
  </si>
  <si>
    <t>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</si>
</sst>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₹-439]#,##0.00"/>
  </numFmts>
  <fonts count="3">
    <font>
      <sz val="11"/>
      <color theme="1"/>
      <name val="Calibri"/>
      <family val="2"/>
      <scheme val="minor"/>
    </font>
    <font>
      <sz val="10"/>
      <color theme="1"/>
      <name val="Arial"/>
      <charset val="1"/>
    </font>
    <font>
      <b/>
      <sz val="16"/>
      <color rgb="FF538DD5"/>
      <name val="Calibri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15" fontId="1" fillId="0" borderId="5" xfId="0" applyNumberFormat="1" applyFont="1" applyBorder="1" applyAlignment="1">
      <alignment readingOrder="1"/>
    </xf>
    <xf numFmtId="14" fontId="1" fillId="0" borderId="5" xfId="0" applyNumberFormat="1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1" fillId="0" borderId="12" xfId="0" applyFont="1" applyBorder="1" applyAlignment="1">
      <alignment readingOrder="1"/>
    </xf>
    <xf numFmtId="0" fontId="1" fillId="0" borderId="0" xfId="0" applyFont="1" applyAlignment="1">
      <alignment readingOrder="1"/>
    </xf>
    <xf numFmtId="164" fontId="1" fillId="0" borderId="11" xfId="0" applyNumberFormat="1" applyFont="1" applyBorder="1" applyAlignment="1">
      <alignment readingOrder="1"/>
    </xf>
    <xf numFmtId="164" fontId="1" fillId="0" borderId="12" xfId="0" applyNumberFormat="1" applyFont="1" applyBorder="1" applyAlignment="1">
      <alignment readingOrder="1"/>
    </xf>
    <xf numFmtId="164" fontId="1" fillId="0" borderId="0" xfId="0" applyNumberFormat="1" applyFont="1" applyAlignment="1">
      <alignment readingOrder="1"/>
    </xf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165" fontId="1" fillId="0" borderId="0" xfId="0" applyNumberFormat="1" applyFont="1" applyAlignment="1">
      <alignment readingOrder="1"/>
    </xf>
    <xf numFmtId="0" fontId="0" fillId="0" borderId="0" xfId="0" pivotButton="1"/>
    <xf numFmtId="165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microsoft.com/office/2022/11/relationships/FeaturePropertyBag" Target="featurePropertyBag/featurePropertyBag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[Apna_Store_Sales_Data.xlsx]DASHBOARD!PivotTable1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DASHBOARD!$A$7:$A$11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DASHBOARD!$B$7:$B$11</c:f>
              <c:numCache>
                <c:formatCode>[$₹-439]#,##0.00</c:formatCode>
                <c:ptCount val="4"/>
                <c:pt idx="0">
                  <c:v>51920</c:v>
                </c:pt>
                <c:pt idx="1">
                  <c:v>153400</c:v>
                </c:pt>
                <c:pt idx="2">
                  <c:v>357540</c:v>
                </c:pt>
                <c:pt idx="3">
                  <c:v>88500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3-49E6-B15F-77D5977A7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7342343"/>
        <c:axId val="987344391"/>
      </c:barChart>
      <c:catAx>
        <c:axId val="987342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344391"/>
        <c:crosses val="autoZero"/>
        <c:auto val="1"/>
        <c:lblAlgn val="ctr"/>
        <c:lblOffset val="100"/>
        <c:noMultiLvlLbl val="0"/>
      </c:catAx>
      <c:valAx>
        <c:axId val="987344391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342343"/>
        <c:crosses val="autoZero"/>
        <c:crossBetween val="between"/>
        <c:majorUnit val="100000"/>
      </c:valAx>
      <c:dTable>
        <c:showHorzBorder val="1"/>
        <c:showVertBorder val="0"/>
        <c:showOutline val="0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[Apna_Store_Sales_Data.xlsx]DASHBOARD!PivotTable2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EB-44E1-885E-C8592246E9E7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EB-44E1-885E-C8592246E9E7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EB-44E1-885E-C8592246E9E7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EB-44E1-885E-C8592246E9E7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EB-44E1-885E-C8592246E9E7}"/>
              </c:ext>
            </c:extLst>
          </c:dPt>
          <c:cat>
            <c:strRef>
              <c:f>DASHBOARD!$A$14:$A$19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Smartwatch</c:v>
                </c:pt>
                <c:pt idx="4">
                  <c:v>Tablet</c:v>
                </c:pt>
              </c:strCache>
            </c:strRef>
          </c:cat>
          <c:val>
            <c:numRef>
              <c:f>DASHBOARD!$B$14:$B$19</c:f>
              <c:numCache>
                <c:formatCode>General</c:formatCode>
                <c:ptCount val="5"/>
                <c:pt idx="0">
                  <c:v>25</c:v>
                </c:pt>
                <c:pt idx="1">
                  <c:v>5</c:v>
                </c:pt>
                <c:pt idx="2">
                  <c:v>7</c:v>
                </c:pt>
                <c:pt idx="3">
                  <c:v>3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EB-44E1-885E-C8592246E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18</xdr:row>
      <xdr:rowOff>57150</xdr:rowOff>
    </xdr:from>
    <xdr:to>
      <xdr:col>10</xdr:col>
      <xdr:colOff>704850</xdr:colOff>
      <xdr:row>32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egion 1">
              <a:extLst>
                <a:ext uri="{FF2B5EF4-FFF2-40B4-BE49-F238E27FC236}">
                  <a16:creationId xmlns:a16="http://schemas.microsoft.com/office/drawing/2014/main" id="{1FB8AD9D-354D-4A41-A2AF-4AB4E1A740DE}"/>
                </a:ext>
                <a:ext uri="{147F2762-F138-4A5C-976F-8EAC2B608ADB}">
                  <a16:predDERef xmlns:a16="http://schemas.microsoft.com/office/drawing/2014/main" pred="{7798F832-297A-69C7-0E29-1838F0A873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81800" y="3486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457200</xdr:colOff>
      <xdr:row>17</xdr:row>
      <xdr:rowOff>171450</xdr:rowOff>
    </xdr:from>
    <xdr:to>
      <xdr:col>3</xdr:col>
      <xdr:colOff>333375</xdr:colOff>
      <xdr:row>31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Item_ Name_Proper 1">
              <a:extLst>
                <a:ext uri="{FF2B5EF4-FFF2-40B4-BE49-F238E27FC236}">
                  <a16:creationId xmlns:a16="http://schemas.microsoft.com/office/drawing/2014/main" id="{3DFECFC9-4996-3435-BBEA-AF7AA451F55B}"/>
                </a:ext>
                <a:ext uri="{147F2762-F138-4A5C-976F-8EAC2B608ADB}">
                  <a16:predDERef xmlns:a16="http://schemas.microsoft.com/office/drawing/2014/main" pred="{1FB8AD9D-354D-4A41-A2AF-4AB4E1A740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_ Name_Prop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0" y="3409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5</xdr:row>
      <xdr:rowOff>0</xdr:rowOff>
    </xdr:from>
    <xdr:to>
      <xdr:col>12</xdr:col>
      <xdr:colOff>304800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ECF113-DC34-4B0A-8107-EE26115A4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590550</xdr:colOff>
      <xdr:row>16</xdr:row>
      <xdr:rowOff>0</xdr:rowOff>
    </xdr:from>
    <xdr:to>
      <xdr:col>12</xdr:col>
      <xdr:colOff>323850</xdr:colOff>
      <xdr:row>27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E92C29-4B53-4D36-8421-BC5D05F3513B}"/>
            </a:ext>
            <a:ext uri="{147F2762-F138-4A5C-976F-8EAC2B608ADB}">
              <a16:predDERef xmlns:a16="http://schemas.microsoft.com/office/drawing/2014/main" pred="{78ECF113-DC34-4B0A-8107-EE26115A4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142875</xdr:colOff>
      <xdr:row>4</xdr:row>
      <xdr:rowOff>180975</xdr:rowOff>
    </xdr:from>
    <xdr:to>
      <xdr:col>5</xdr:col>
      <xdr:colOff>142875</xdr:colOff>
      <xdr:row>12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17CDF682-B8F4-AEFF-80B1-0EE6962740B8}"/>
                </a:ext>
                <a:ext uri="{147F2762-F138-4A5C-976F-8EAC2B608ADB}">
                  <a16:predDERef xmlns:a16="http://schemas.microsoft.com/office/drawing/2014/main" pred="{BAE92C29-4B53-4D36-8421-BC5D05F351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0375" y="1019175"/>
              <a:ext cx="1828800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133350</xdr:colOff>
      <xdr:row>13</xdr:row>
      <xdr:rowOff>0</xdr:rowOff>
    </xdr:from>
    <xdr:to>
      <xdr:col>5</xdr:col>
      <xdr:colOff>133350</xdr:colOff>
      <xdr:row>21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Item_ Name_Proper">
              <a:extLst>
                <a:ext uri="{FF2B5EF4-FFF2-40B4-BE49-F238E27FC236}">
                  <a16:creationId xmlns:a16="http://schemas.microsoft.com/office/drawing/2014/main" id="{537B6D22-2D76-DA0D-FBAB-D31990A0EB2F}"/>
                </a:ext>
                <a:ext uri="{147F2762-F138-4A5C-976F-8EAC2B608ADB}">
                  <a16:predDERef xmlns:a16="http://schemas.microsoft.com/office/drawing/2014/main" pred="{17CDF682-B8F4-AEFF-80B1-0EE6962740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_ Name_Prop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90850" y="2552700"/>
              <a:ext cx="1828800" cy="1647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4.741103125001" createdVersion="8" refreshedVersion="8" minRefreshableVersion="3" recordCount="10" xr:uid="{855B47CB-41C5-4434-8017-5DA2F50AAACD}">
  <cacheSource type="worksheet">
    <worksheetSource ref="A1:M11" sheet="Raw_Sales_Data"/>
  </cacheSource>
  <cacheFields count="13">
    <cacheField name="Raw_Info (ID/Date/Region)" numFmtId="0">
      <sharedItems/>
    </cacheField>
    <cacheField name="TRIMMED INFO" numFmtId="0">
      <sharedItems/>
    </cacheField>
    <cacheField name="PROPER INFO" numFmtId="0">
      <sharedItems/>
    </cacheField>
    <cacheField name="Order ID" numFmtId="0">
      <sharedItems/>
    </cacheField>
    <cacheField name="Date" numFmtId="164">
      <sharedItems containsSemiMixedTypes="0" containsNonDate="0" containsDate="1" containsString="0" minDate="2025-01-01T00:00:00" maxDate="2025-01-11T00:00:00"/>
    </cacheField>
    <cacheField name="Region" numFmtId="0">
      <sharedItems count="4">
        <s v="NORTH"/>
        <s v="SOUTH"/>
        <s v="WEST"/>
        <s v="EAST"/>
      </sharedItems>
    </cacheField>
    <cacheField name="Item_Name" numFmtId="0">
      <sharedItems/>
    </cacheField>
    <cacheField name="Item_ Name_Proper" numFmtId="0">
      <sharedItems count="5">
        <s v="Laptop"/>
        <s v="Mobile"/>
        <s v="Tablet"/>
        <s v="Headphones"/>
        <s v="Smartwatch"/>
      </sharedItems>
    </cacheField>
    <cacheField name="Qty" numFmtId="0">
      <sharedItems containsSemiMixedTypes="0" containsString="0" containsNumber="1" containsInteger="1" minValue="1" maxValue="15"/>
    </cacheField>
    <cacheField name="UnitPrice" numFmtId="165">
      <sharedItems containsSemiMixedTypes="0" containsString="0" containsNumber="1" containsInteger="1" minValue="2000" maxValue="50000"/>
    </cacheField>
    <cacheField name="Total_Sales" numFmtId="165">
      <sharedItems containsSemiMixedTypes="0" containsString="0" containsNumber="1" containsInteger="1" minValue="15000" maxValue="150000"/>
    </cacheField>
    <cacheField name=" GST value" numFmtId="165">
      <sharedItems containsSemiMixedTypes="0" containsString="0" containsNumber="1" containsInteger="1" minValue="2700" maxValue="27000"/>
    </cacheField>
    <cacheField name="Final Amount" numFmtId="165">
      <sharedItems containsSemiMixedTypes="0" containsString="0" containsNumber="1" containsInteger="1" minValue="17700" maxValue="177000"/>
    </cacheField>
  </cacheFields>
  <extLst>
    <ext xmlns:x14="http://schemas.microsoft.com/office/spreadsheetml/2009/9/main" uri="{725AE2AE-9491-48be-B2B4-4EB974FC3084}">
      <x14:pivotCacheDefinition pivotCacheId="17131794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     ORD001/2024/01/01/NORTH"/>
    <s v="ORD001/2024/01/01/NORTH"/>
    <s v="ORD001/2024/01/01/NORTH"/>
    <s v="ORD001"/>
    <d v="2025-01-01T00:00:00"/>
    <x v="0"/>
    <s v="lAPTOP"/>
    <x v="0"/>
    <n v="1"/>
    <n v="50000"/>
    <n v="50000"/>
    <n v="9000"/>
    <n v="59000"/>
  </r>
  <r>
    <s v="ord002/2/Jan/24/SOUTH"/>
    <s v="ord002/2/Jan/24/SOUTH"/>
    <s v="ORD002/2/JAN/24/SOUTH"/>
    <s v="ORD002"/>
    <d v="2025-01-02T00:00:00"/>
    <x v="1"/>
    <s v="MoBILe"/>
    <x v="1"/>
    <n v="7"/>
    <n v="15000"/>
    <n v="105000"/>
    <n v="18900"/>
    <n v="123900"/>
  </r>
  <r>
    <s v="ORD003/03/01/24_west"/>
    <s v="ORD003/03/01/24_west"/>
    <s v="ORD003/03/01/24_WEST"/>
    <s v="ORD003"/>
    <d v="2025-01-03T00:00:00"/>
    <x v="2"/>
    <s v="TABlet"/>
    <x v="2"/>
    <n v="5"/>
    <n v="12000"/>
    <n v="60000"/>
    <n v="10800"/>
    <n v="70800"/>
  </r>
  <r>
    <s v="ORD004/04Jan24/EAST      "/>
    <s v="ORD004/04Jan24/EAST"/>
    <s v="ORD004/04JAN24/EAST"/>
    <s v="ORD004"/>
    <d v="2025-01-04T00:00:00"/>
    <x v="3"/>
    <s v="HeadPHONES"/>
    <x v="3"/>
    <n v="10"/>
    <n v="2000"/>
    <n v="20000"/>
    <n v="3600"/>
    <n v="23600"/>
  </r>
  <r>
    <s v="ord005/05/01/2024/north"/>
    <s v="ord005/05/01/2024/north"/>
    <s v="ORD005/05/01/2024/NORTH"/>
    <s v="ORD005"/>
    <d v="2025-01-05T00:00:00"/>
    <x v="0"/>
    <s v="lAPTOP"/>
    <x v="0"/>
    <n v="1"/>
    <n v="50000"/>
    <n v="50000"/>
    <n v="9000"/>
    <n v="59000"/>
  </r>
  <r>
    <s v="ORD006/6/1/2024/SOUTH"/>
    <s v="ORD006/6/1/2024/SOUTH"/>
    <s v="ORD006/6/1/2024/SOUTH"/>
    <s v="ORD006"/>
    <d v="2025-01-06T00:00:00"/>
    <x v="1"/>
    <s v="TABlet"/>
    <x v="2"/>
    <n v="4"/>
    <n v="12000"/>
    <n v="48000"/>
    <n v="8640"/>
    <n v="56640"/>
  </r>
  <r>
    <s v="ORD007/07/Jan/24_WEST"/>
    <s v="ORD007/07/Jan/24_WEST"/>
    <s v="ORD007/07/JAN/24_WEST"/>
    <s v="ORD007"/>
    <d v="2025-01-07T00:00:00"/>
    <x v="2"/>
    <s v="smartWATCH"/>
    <x v="4"/>
    <n v="3"/>
    <n v="5000"/>
    <n v="15000"/>
    <n v="2700"/>
    <n v="17700"/>
  </r>
  <r>
    <s v="      ord008/08/01/24/east"/>
    <s v="ord008/08/01/24/east"/>
    <s v="ORD008/08/01/24/EAST"/>
    <s v="ORD008"/>
    <d v="2025-01-08T00:00:00"/>
    <x v="3"/>
    <s v="TABlet"/>
    <x v="2"/>
    <n v="2"/>
    <n v="12000"/>
    <n v="24000"/>
    <n v="4320"/>
    <n v="28320"/>
  </r>
  <r>
    <s v="ord009/09Jan24/NORTH"/>
    <s v="ord009/09Jan24/NORTH"/>
    <s v="ORD009/09JAN24/NORTH"/>
    <s v="ORD009"/>
    <d v="2025-01-09T00:00:00"/>
    <x v="0"/>
    <s v="HeadPHONES"/>
    <x v="3"/>
    <n v="15"/>
    <n v="2000"/>
    <n v="30000"/>
    <n v="5400"/>
    <n v="35400"/>
  </r>
  <r>
    <s v="ORD010/10/1/2024/SOUTH"/>
    <s v="ORD010/10/1/2024/SOUTH"/>
    <s v="ORD010/10/1/2024/SOUTH"/>
    <s v="ORD010"/>
    <d v="2025-01-10T00:00:00"/>
    <x v="1"/>
    <s v="lAPTOP"/>
    <x v="0"/>
    <n v="3"/>
    <n v="50000"/>
    <n v="150000"/>
    <n v="27000"/>
    <n v="177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5437A-A7EA-4E6A-9C8F-765FFD964265}" name="PivotTable1" cacheId="9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6:B11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numFmtId="165" outline="0" showAll="0"/>
    <pivotField compact="0" numFmtId="165" outline="0" showAll="0"/>
    <pivotField compact="0" numFmtId="165" outline="0" showAll="0"/>
    <pivotField dataField="1" compact="0" numFmtId="165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 Amount" fld="12" baseField="0" baseItem="0" numFmtId="165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471FB-8F6C-4C96-9B92-7352B07AB596}" name="PivotTable2" cacheId="9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3:B19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axis="axisRow" compact="0" outline="0" showAll="0">
      <items count="6">
        <item x="3"/>
        <item x="0"/>
        <item x="1"/>
        <item x="4"/>
        <item x="2"/>
        <item t="default"/>
      </items>
    </pivotField>
    <pivotField dataField="1"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ty" fld="8" baseField="0" baseItem="0"/>
  </dataFields>
  <chartFormats count="24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153FA94-BE59-47EB-8B44-F8DCE7C65CEC}" sourceName="Region">
  <pivotTables>
    <pivotTable tabId="3" name="PivotTable1"/>
    <pivotTable tabId="3" name="PivotTable2"/>
  </pivotTables>
  <data>
    <tabular pivotCacheId="1713179495">
      <items count="4">
        <i x="3" s="1"/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tem__Name_Proper" xr10:uid="{525A337F-83DF-4DE2-BF24-67DC36F80381}" sourceName="Item_ Name_Proper">
  <pivotTables>
    <pivotTable tabId="3" name="PivotTable1"/>
    <pivotTable tabId="3" name="PivotTable2"/>
  </pivotTables>
  <data>
    <tabular pivotCacheId="1713179495">
      <items count="5">
        <i x="3" s="1"/>
        <i x="0" s="1"/>
        <i x="1" s="1"/>
        <i x="4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22D38664-35BB-4604-AAAB-33EF1E0DFC6C}" cache="Slicer_Region" caption="Region" rowHeight="228600"/>
  <slicer name="Item_ Name_Proper 1" xr10:uid="{B9260D1C-1E88-4074-A949-351B7379EE40}" cache="Slicer_Item__Name_Proper" caption="Item_ Name_Proper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79EA14C0-6662-4263-A725-C146D73E5B36}" cache="Slicer_Region" caption="Region" rowHeight="228600"/>
  <slicer name="Item_ Name_Proper" xr10:uid="{5AC5B2A8-70E4-4B10-86DC-B165DC65B935}" cache="Slicer_Item__Name_Proper" caption="Item_ Name_Proper" startItem="1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FFBC-1E59-44D9-BF4D-A7B43400223B}">
  <dimension ref="A1"/>
  <sheetViews>
    <sheetView workbookViewId="0">
      <selection activeCell="J6" sqref="J6"/>
    </sheetView>
  </sheetViews>
  <sheetFormatPr defaultRowHeight="15"/>
  <cols>
    <col min="1" max="1" width="11.7109375" bestFit="1" customWidth="1"/>
    <col min="2" max="2" width="20.140625" bestFit="1" customWidth="1"/>
    <col min="10" max="10" width="22.7109375" bestFit="1" customWidth="1"/>
    <col min="11" max="11" width="11.140625" bestFit="1" customWidth="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72A08-E322-41B3-8F43-821AFC79E7BB}">
  <dimension ref="A2:I19"/>
  <sheetViews>
    <sheetView workbookViewId="0">
      <selection activeCell="F23" sqref="F23"/>
    </sheetView>
  </sheetViews>
  <sheetFormatPr defaultRowHeight="15"/>
  <cols>
    <col min="1" max="1" width="22.7109375" bestFit="1" customWidth="1"/>
    <col min="2" max="2" width="20.140625" bestFit="1" customWidth="1"/>
  </cols>
  <sheetData>
    <row r="2" spans="1:9" ht="21">
      <c r="D2" s="25" t="s">
        <v>0</v>
      </c>
      <c r="E2" s="26"/>
      <c r="F2" s="26"/>
      <c r="G2" s="26"/>
      <c r="H2" s="26"/>
      <c r="I2" s="26"/>
    </row>
    <row r="6" spans="1:9">
      <c r="A6" s="23" t="s">
        <v>1</v>
      </c>
      <c r="B6" t="s">
        <v>2</v>
      </c>
    </row>
    <row r="7" spans="1:9">
      <c r="A7" t="s">
        <v>3</v>
      </c>
      <c r="B7" s="21">
        <v>51920</v>
      </c>
    </row>
    <row r="8" spans="1:9">
      <c r="A8" t="s">
        <v>4</v>
      </c>
      <c r="B8" s="21">
        <v>153400</v>
      </c>
    </row>
    <row r="9" spans="1:9">
      <c r="A9" t="s">
        <v>5</v>
      </c>
      <c r="B9" s="21">
        <v>357540</v>
      </c>
    </row>
    <row r="10" spans="1:9">
      <c r="A10" t="s">
        <v>6</v>
      </c>
      <c r="B10" s="21">
        <v>88500</v>
      </c>
    </row>
    <row r="11" spans="1:9">
      <c r="A11" t="s">
        <v>7</v>
      </c>
      <c r="B11" s="21">
        <v>651360</v>
      </c>
    </row>
    <row r="13" spans="1:9">
      <c r="A13" s="23" t="s">
        <v>8</v>
      </c>
      <c r="B13" t="s">
        <v>9</v>
      </c>
    </row>
    <row r="14" spans="1:9">
      <c r="A14" t="s">
        <v>10</v>
      </c>
      <c r="B14">
        <v>25</v>
      </c>
    </row>
    <row r="15" spans="1:9">
      <c r="A15" t="s">
        <v>11</v>
      </c>
      <c r="B15">
        <v>5</v>
      </c>
    </row>
    <row r="16" spans="1:9">
      <c r="A16" t="s">
        <v>12</v>
      </c>
      <c r="B16">
        <v>7</v>
      </c>
    </row>
    <row r="17" spans="1:2">
      <c r="A17" t="s">
        <v>13</v>
      </c>
      <c r="B17">
        <v>3</v>
      </c>
    </row>
    <row r="18" spans="1:2">
      <c r="A18" t="s">
        <v>14</v>
      </c>
      <c r="B18">
        <v>11</v>
      </c>
    </row>
    <row r="19" spans="1:2">
      <c r="A19" t="s">
        <v>7</v>
      </c>
      <c r="B19">
        <v>51</v>
      </c>
    </row>
  </sheetData>
  <mergeCells count="1">
    <mergeCell ref="D2:I2"/>
  </mergeCells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topLeftCell="G1" workbookViewId="0">
      <selection activeCell="J1" sqref="J1:J1048576"/>
    </sheetView>
  </sheetViews>
  <sheetFormatPr defaultRowHeight="15"/>
  <cols>
    <col min="1" max="1" width="28.7109375" bestFit="1" customWidth="1"/>
    <col min="2" max="3" width="26.140625" customWidth="1"/>
    <col min="4" max="4" width="8.42578125" bestFit="1" customWidth="1"/>
    <col min="5" max="5" width="10.5703125" style="19" bestFit="1" customWidth="1"/>
    <col min="6" max="6" width="7.7109375" bestFit="1" customWidth="1"/>
    <col min="7" max="7" width="13.5703125" bestFit="1" customWidth="1"/>
    <col min="8" max="8" width="17.5703125" bestFit="1" customWidth="1"/>
    <col min="9" max="9" width="10" customWidth="1"/>
    <col min="10" max="10" width="10.42578125" style="21" bestFit="1" customWidth="1"/>
    <col min="11" max="11" width="12" style="21" bestFit="1" customWidth="1"/>
    <col min="12" max="12" width="10.85546875" style="21" bestFit="1" customWidth="1"/>
    <col min="13" max="13" width="14.28515625" style="21" bestFit="1" customWidth="1"/>
    <col min="14" max="14" width="14.28515625" style="21" customWidth="1"/>
    <col min="15" max="15" width="17" bestFit="1" customWidth="1"/>
    <col min="16" max="16" width="17" customWidth="1"/>
    <col min="17" max="17" width="10.5703125" bestFit="1" customWidth="1"/>
  </cols>
  <sheetData>
    <row r="1" spans="1:17">
      <c r="A1" s="1" t="s">
        <v>15</v>
      </c>
      <c r="B1" s="13" t="s">
        <v>16</v>
      </c>
      <c r="C1" s="13" t="s">
        <v>17</v>
      </c>
      <c r="D1" s="13" t="s">
        <v>18</v>
      </c>
      <c r="E1" s="16" t="s">
        <v>19</v>
      </c>
      <c r="F1" s="13" t="s">
        <v>1</v>
      </c>
      <c r="G1" s="2" t="s">
        <v>20</v>
      </c>
      <c r="H1" s="11" t="s">
        <v>8</v>
      </c>
      <c r="I1" s="3" t="s">
        <v>21</v>
      </c>
      <c r="J1" s="22" t="s">
        <v>22</v>
      </c>
      <c r="K1" s="21" t="s">
        <v>23</v>
      </c>
      <c r="L1" s="21" t="s">
        <v>24</v>
      </c>
      <c r="M1" s="21" t="s">
        <v>25</v>
      </c>
      <c r="N1" s="21" t="s">
        <v>26</v>
      </c>
      <c r="O1" t="s">
        <v>27</v>
      </c>
      <c r="P1" t="s">
        <v>28</v>
      </c>
    </row>
    <row r="2" spans="1:17">
      <c r="A2" s="4" t="s">
        <v>29</v>
      </c>
      <c r="B2" s="14" t="str">
        <f>TRIM(A2)</f>
        <v>ORD001/2024/01/01/NORTH</v>
      </c>
      <c r="C2" s="14" t="str">
        <f>UPPER(B2)</f>
        <v>ORD001/2024/01/01/NORTH</v>
      </c>
      <c r="D2" s="14" t="s">
        <v>30</v>
      </c>
      <c r="E2" s="17">
        <v>45658</v>
      </c>
      <c r="F2" s="14" t="s">
        <v>4</v>
      </c>
      <c r="G2" s="5" t="s">
        <v>31</v>
      </c>
      <c r="H2" s="12" t="str">
        <f>PROPER(G2)</f>
        <v>Laptop</v>
      </c>
      <c r="I2" s="6">
        <v>1</v>
      </c>
      <c r="J2" s="22">
        <f>_xlfn.XLOOKUP(H2,$A$15:$A$19,$B$15:$B$19)</f>
        <v>50000</v>
      </c>
      <c r="K2" s="21">
        <f>I2*J2</f>
        <v>50000</v>
      </c>
      <c r="L2" s="21">
        <f>K2*$D$14</f>
        <v>9000</v>
      </c>
      <c r="M2" s="21">
        <f>K2+L2</f>
        <v>59000</v>
      </c>
      <c r="N2" s="21">
        <v>75000</v>
      </c>
      <c r="O2" t="str">
        <f>IF(M2&gt;50000,"Target Completed","Not Completed")</f>
        <v>Target Completed</v>
      </c>
      <c r="P2">
        <f>IF(Q2=TRUE,M2-N2,NA())</f>
        <v>-16000</v>
      </c>
      <c r="Q2" t="b">
        <v>1</v>
      </c>
    </row>
    <row r="3" spans="1:17">
      <c r="A3" s="4" t="s">
        <v>32</v>
      </c>
      <c r="B3" s="14" t="str">
        <f>TRIM(A3)</f>
        <v>ord002/2/Jan/24/SOUTH</v>
      </c>
      <c r="C3" s="14" t="str">
        <f>UPPER(B3)</f>
        <v>ORD002/2/JAN/24/SOUTH</v>
      </c>
      <c r="D3" s="15" t="s">
        <v>33</v>
      </c>
      <c r="E3" s="17">
        <v>45659</v>
      </c>
      <c r="F3" s="14" t="s">
        <v>5</v>
      </c>
      <c r="G3" s="7" t="s">
        <v>34</v>
      </c>
      <c r="H3" s="12" t="str">
        <f>PROPER(G3)</f>
        <v>Mobile</v>
      </c>
      <c r="I3" s="6">
        <v>7</v>
      </c>
      <c r="J3" s="22">
        <f t="shared" ref="J3:J11" si="0">_xlfn.XLOOKUP(H3,$A$15:$A$19,$B$15:$B$19)</f>
        <v>15000</v>
      </c>
      <c r="K3" s="21">
        <f>I3*J3</f>
        <v>105000</v>
      </c>
      <c r="L3" s="21">
        <f t="shared" ref="L3:L11" si="1">K3*$D$14</f>
        <v>18900</v>
      </c>
      <c r="M3" s="21">
        <f t="shared" ref="M3:M11" si="2">K3+L3</f>
        <v>123900</v>
      </c>
      <c r="N3" s="21">
        <v>75000</v>
      </c>
      <c r="O3" t="str">
        <f t="shared" ref="O3:O11" si="3">IF(M3&gt;50000,"Target Completed","Not Completed")</f>
        <v>Target Completed</v>
      </c>
      <c r="P3">
        <f t="shared" ref="P3:P11" si="4">IF(Q3=TRUE,M3-N3,NA())</f>
        <v>48900</v>
      </c>
      <c r="Q3" t="b">
        <v>1</v>
      </c>
    </row>
    <row r="4" spans="1:17">
      <c r="A4" s="4" t="s">
        <v>35</v>
      </c>
      <c r="B4" s="14" t="str">
        <f>TRIM(A4)</f>
        <v>ORD003/03/01/24_west</v>
      </c>
      <c r="C4" s="14" t="str">
        <f>UPPER(B4)</f>
        <v>ORD003/03/01/24_WEST</v>
      </c>
      <c r="D4" s="15" t="s">
        <v>36</v>
      </c>
      <c r="E4" s="18">
        <v>45660</v>
      </c>
      <c r="F4" s="14" t="s">
        <v>6</v>
      </c>
      <c r="G4" s="5" t="s">
        <v>37</v>
      </c>
      <c r="H4" s="12" t="str">
        <f>PROPER(G4)</f>
        <v>Tablet</v>
      </c>
      <c r="I4" s="6">
        <v>5</v>
      </c>
      <c r="J4" s="22">
        <f t="shared" si="0"/>
        <v>12000</v>
      </c>
      <c r="K4" s="21">
        <f>I4*J4</f>
        <v>60000</v>
      </c>
      <c r="L4" s="21">
        <f t="shared" si="1"/>
        <v>10800</v>
      </c>
      <c r="M4" s="21">
        <f t="shared" si="2"/>
        <v>70800</v>
      </c>
      <c r="N4" s="21">
        <v>75000</v>
      </c>
      <c r="O4" t="str">
        <f t="shared" si="3"/>
        <v>Target Completed</v>
      </c>
      <c r="P4">
        <f t="shared" si="4"/>
        <v>-4200</v>
      </c>
      <c r="Q4" t="b">
        <v>1</v>
      </c>
    </row>
    <row r="5" spans="1:17">
      <c r="A5" s="4" t="s">
        <v>38</v>
      </c>
      <c r="B5" s="14" t="str">
        <f>TRIM(A5)</f>
        <v>ORD004/04Jan24/EAST</v>
      </c>
      <c r="C5" s="14" t="str">
        <f>UPPER(B5)</f>
        <v>ORD004/04JAN24/EAST</v>
      </c>
      <c r="D5" s="15" t="s">
        <v>39</v>
      </c>
      <c r="E5" s="18">
        <v>45661</v>
      </c>
      <c r="F5" s="14" t="s">
        <v>3</v>
      </c>
      <c r="G5" s="5" t="s">
        <v>40</v>
      </c>
      <c r="H5" s="12" t="str">
        <f>PROPER(G5)</f>
        <v>Headphones</v>
      </c>
      <c r="I5" s="6">
        <v>10</v>
      </c>
      <c r="J5" s="22">
        <f t="shared" si="0"/>
        <v>2000</v>
      </c>
      <c r="K5" s="21">
        <f>I5*J5</f>
        <v>20000</v>
      </c>
      <c r="L5" s="21">
        <f t="shared" si="1"/>
        <v>3600</v>
      </c>
      <c r="M5" s="21">
        <f t="shared" si="2"/>
        <v>23600</v>
      </c>
      <c r="N5" s="21">
        <v>75000</v>
      </c>
      <c r="O5" t="str">
        <f t="shared" si="3"/>
        <v>Not Completed</v>
      </c>
      <c r="P5">
        <f t="shared" si="4"/>
        <v>-51400</v>
      </c>
      <c r="Q5" t="b">
        <v>1</v>
      </c>
    </row>
    <row r="6" spans="1:17">
      <c r="A6" s="4" t="s">
        <v>41</v>
      </c>
      <c r="B6" s="14" t="str">
        <f>TRIM(A6)</f>
        <v>ord005/05/01/2024/north</v>
      </c>
      <c r="C6" s="14" t="str">
        <f>UPPER(B6)</f>
        <v>ORD005/05/01/2024/NORTH</v>
      </c>
      <c r="D6" s="15" t="s">
        <v>42</v>
      </c>
      <c r="E6" s="18">
        <v>45662</v>
      </c>
      <c r="F6" s="15" t="s">
        <v>4</v>
      </c>
      <c r="G6" s="5" t="s">
        <v>43</v>
      </c>
      <c r="H6" s="12" t="str">
        <f>PROPER(G6)</f>
        <v>Laptop</v>
      </c>
      <c r="I6" s="6">
        <v>1</v>
      </c>
      <c r="J6" s="22">
        <f t="shared" si="0"/>
        <v>50000</v>
      </c>
      <c r="K6" s="21">
        <f>I6*J6</f>
        <v>50000</v>
      </c>
      <c r="L6" s="21">
        <f t="shared" si="1"/>
        <v>9000</v>
      </c>
      <c r="M6" s="21">
        <f t="shared" si="2"/>
        <v>59000</v>
      </c>
      <c r="N6" s="21">
        <v>75000</v>
      </c>
      <c r="O6" t="str">
        <f t="shared" si="3"/>
        <v>Target Completed</v>
      </c>
      <c r="P6">
        <f t="shared" si="4"/>
        <v>-16000</v>
      </c>
      <c r="Q6" t="b">
        <v>1</v>
      </c>
    </row>
    <row r="7" spans="1:17">
      <c r="A7" s="4" t="s">
        <v>44</v>
      </c>
      <c r="B7" s="14" t="str">
        <f>TRIM(A7)</f>
        <v>ORD006/6/1/2024/SOUTH</v>
      </c>
      <c r="C7" s="14" t="str">
        <f>UPPER(B7)</f>
        <v>ORD006/6/1/2024/SOUTH</v>
      </c>
      <c r="D7" s="15" t="s">
        <v>45</v>
      </c>
      <c r="E7" s="18">
        <v>45663</v>
      </c>
      <c r="F7" s="15" t="s">
        <v>5</v>
      </c>
      <c r="G7" s="8" t="s">
        <v>46</v>
      </c>
      <c r="H7" s="12" t="str">
        <f>PROPER(G7)</f>
        <v>Tablet</v>
      </c>
      <c r="I7" s="6">
        <v>4</v>
      </c>
      <c r="J7" s="22">
        <f t="shared" si="0"/>
        <v>12000</v>
      </c>
      <c r="K7" s="21">
        <f>I7*J7</f>
        <v>48000</v>
      </c>
      <c r="L7" s="21">
        <f t="shared" si="1"/>
        <v>8640</v>
      </c>
      <c r="M7" s="21">
        <f t="shared" si="2"/>
        <v>56640</v>
      </c>
      <c r="N7" s="21">
        <v>75000</v>
      </c>
      <c r="O7" t="str">
        <f t="shared" si="3"/>
        <v>Target Completed</v>
      </c>
      <c r="P7">
        <f t="shared" si="4"/>
        <v>-18360</v>
      </c>
      <c r="Q7" t="b">
        <v>1</v>
      </c>
    </row>
    <row r="8" spans="1:17">
      <c r="A8" s="4" t="s">
        <v>47</v>
      </c>
      <c r="B8" s="14" t="str">
        <f>TRIM(A8)</f>
        <v>ORD007/07/Jan/24_WEST</v>
      </c>
      <c r="C8" s="14" t="str">
        <f>UPPER(B8)</f>
        <v>ORD007/07/JAN/24_WEST</v>
      </c>
      <c r="D8" s="15" t="s">
        <v>48</v>
      </c>
      <c r="E8" s="18">
        <v>45664</v>
      </c>
      <c r="F8" s="15" t="s">
        <v>6</v>
      </c>
      <c r="G8" s="5" t="s">
        <v>49</v>
      </c>
      <c r="H8" s="12" t="str">
        <f>PROPER(G8)</f>
        <v>Smartwatch</v>
      </c>
      <c r="I8" s="6">
        <v>3</v>
      </c>
      <c r="J8" s="22">
        <f t="shared" si="0"/>
        <v>5000</v>
      </c>
      <c r="K8" s="21">
        <f>I8*J8</f>
        <v>15000</v>
      </c>
      <c r="L8" s="21">
        <f t="shared" si="1"/>
        <v>2700</v>
      </c>
      <c r="M8" s="21">
        <f t="shared" si="2"/>
        <v>17700</v>
      </c>
      <c r="N8" s="21">
        <v>75000</v>
      </c>
      <c r="O8" t="str">
        <f t="shared" si="3"/>
        <v>Not Completed</v>
      </c>
      <c r="P8">
        <f t="shared" si="4"/>
        <v>-57300</v>
      </c>
      <c r="Q8" t="b">
        <v>1</v>
      </c>
    </row>
    <row r="9" spans="1:17">
      <c r="A9" s="4" t="s">
        <v>50</v>
      </c>
      <c r="B9" s="14" t="str">
        <f>TRIM(A9)</f>
        <v>ord008/08/01/24/east</v>
      </c>
      <c r="C9" s="14" t="str">
        <f>UPPER(B9)</f>
        <v>ORD008/08/01/24/EAST</v>
      </c>
      <c r="D9" s="15" t="s">
        <v>51</v>
      </c>
      <c r="E9" s="18">
        <v>45665</v>
      </c>
      <c r="F9" s="15" t="s">
        <v>3</v>
      </c>
      <c r="G9" s="5" t="s">
        <v>52</v>
      </c>
      <c r="H9" s="12" t="str">
        <f>PROPER(G9)</f>
        <v>Tablet</v>
      </c>
      <c r="I9" s="6">
        <v>2</v>
      </c>
      <c r="J9" s="22">
        <f t="shared" si="0"/>
        <v>12000</v>
      </c>
      <c r="K9" s="21">
        <f>I9*J9</f>
        <v>24000</v>
      </c>
      <c r="L9" s="21">
        <f t="shared" si="1"/>
        <v>4320</v>
      </c>
      <c r="M9" s="21">
        <f t="shared" si="2"/>
        <v>28320</v>
      </c>
      <c r="N9" s="21">
        <v>75000</v>
      </c>
      <c r="O9" t="str">
        <f t="shared" si="3"/>
        <v>Not Completed</v>
      </c>
      <c r="P9">
        <f t="shared" si="4"/>
        <v>-46680</v>
      </c>
      <c r="Q9" t="b">
        <v>1</v>
      </c>
    </row>
    <row r="10" spans="1:17">
      <c r="A10" s="4" t="s">
        <v>53</v>
      </c>
      <c r="B10" s="14" t="str">
        <f>TRIM(A10)</f>
        <v>ord009/09Jan24/NORTH</v>
      </c>
      <c r="C10" s="14" t="str">
        <f>UPPER(B10)</f>
        <v>ORD009/09JAN24/NORTH</v>
      </c>
      <c r="D10" s="15" t="s">
        <v>54</v>
      </c>
      <c r="E10" s="18">
        <v>45666</v>
      </c>
      <c r="F10" s="15" t="s">
        <v>4</v>
      </c>
      <c r="G10" s="5" t="s">
        <v>40</v>
      </c>
      <c r="H10" s="12" t="str">
        <f>PROPER(G10)</f>
        <v>Headphones</v>
      </c>
      <c r="I10" s="6">
        <v>15</v>
      </c>
      <c r="J10" s="22">
        <f t="shared" si="0"/>
        <v>2000</v>
      </c>
      <c r="K10" s="21">
        <f>I10*J10</f>
        <v>30000</v>
      </c>
      <c r="L10" s="21">
        <f t="shared" si="1"/>
        <v>5400</v>
      </c>
      <c r="M10" s="21">
        <f t="shared" si="2"/>
        <v>35400</v>
      </c>
      <c r="N10" s="21">
        <v>75000</v>
      </c>
      <c r="O10" t="str">
        <f t="shared" si="3"/>
        <v>Not Completed</v>
      </c>
      <c r="P10">
        <f t="shared" si="4"/>
        <v>-39600</v>
      </c>
      <c r="Q10" t="b">
        <v>1</v>
      </c>
    </row>
    <row r="11" spans="1:17">
      <c r="A11" s="4" t="s">
        <v>55</v>
      </c>
      <c r="B11" s="14" t="str">
        <f>TRIM(A11)</f>
        <v>ORD010/10/1/2024/SOUTH</v>
      </c>
      <c r="C11" s="14" t="str">
        <f>UPPER(B11)</f>
        <v>ORD010/10/1/2024/SOUTH</v>
      </c>
      <c r="D11" s="15" t="s">
        <v>56</v>
      </c>
      <c r="E11" s="18">
        <v>45667</v>
      </c>
      <c r="F11" s="15" t="s">
        <v>5</v>
      </c>
      <c r="G11" s="8" t="s">
        <v>57</v>
      </c>
      <c r="H11" s="12" t="str">
        <f>PROPER(G11)</f>
        <v>Laptop</v>
      </c>
      <c r="I11" s="6">
        <v>3</v>
      </c>
      <c r="J11" s="22">
        <f t="shared" si="0"/>
        <v>50000</v>
      </c>
      <c r="K11" s="21">
        <f>I11*J11</f>
        <v>150000</v>
      </c>
      <c r="L11" s="21">
        <f t="shared" si="1"/>
        <v>27000</v>
      </c>
      <c r="M11" s="21">
        <f t="shared" si="2"/>
        <v>177000</v>
      </c>
      <c r="N11" s="21">
        <v>75000</v>
      </c>
      <c r="O11" t="str">
        <f t="shared" si="3"/>
        <v>Target Completed</v>
      </c>
      <c r="P11">
        <f t="shared" si="4"/>
        <v>102000</v>
      </c>
      <c r="Q11" t="b">
        <v>1</v>
      </c>
    </row>
    <row r="12" spans="1:17">
      <c r="E12"/>
    </row>
    <row r="13" spans="1:17">
      <c r="E13"/>
    </row>
    <row r="14" spans="1:17">
      <c r="A14" s="1" t="s">
        <v>58</v>
      </c>
      <c r="B14" s="3" t="s">
        <v>59</v>
      </c>
      <c r="C14" t="s">
        <v>60</v>
      </c>
      <c r="D14" s="20">
        <v>0.18</v>
      </c>
    </row>
    <row r="15" spans="1:17">
      <c r="A15" s="4" t="s">
        <v>11</v>
      </c>
      <c r="B15" s="6">
        <v>50000</v>
      </c>
    </row>
    <row r="16" spans="1:17">
      <c r="A16" s="4" t="s">
        <v>12</v>
      </c>
      <c r="B16" s="6">
        <v>15000</v>
      </c>
      <c r="K16" s="24"/>
    </row>
    <row r="17" spans="1:2">
      <c r="A17" s="4" t="s">
        <v>14</v>
      </c>
      <c r="B17" s="6">
        <v>12000</v>
      </c>
    </row>
    <row r="18" spans="1:2">
      <c r="A18" s="4" t="s">
        <v>10</v>
      </c>
      <c r="B18" s="6">
        <v>2000</v>
      </c>
    </row>
    <row r="19" spans="1:2">
      <c r="A19" s="9" t="s">
        <v>13</v>
      </c>
      <c r="B19" s="10">
        <v>5000</v>
      </c>
    </row>
  </sheetData>
  <conditionalFormatting sqref="I1:I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{E826A0B4-F9DD-4899-B88C-0F089980483E}</x14:id>
        </ext>
      </extLst>
    </cfRule>
  </conditionalFormatting>
  <dataValidations count="1">
    <dataValidation type="list" allowBlank="1" showInputMessage="1" showErrorMessage="1" sqref="Q2:Q11" xr:uid="{CD9BC67B-D773-4CF5-B788-BD0E6C30E67A}">
      <formula1>"TRUE,FALSE"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26A0B4-F9DD-4899-B88C-0F08998048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2026-01-12T21:42:46Z</dcterms:created>
  <dcterms:modified xsi:type="dcterms:W3CDTF">2026-01-13T00:00:18Z</dcterms:modified>
  <cp:category/>
  <cp:contentStatus/>
</cp:coreProperties>
</file>